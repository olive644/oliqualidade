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eçalho deslocado" sheetId="1" r:id="rId1"/>
    <sheet name="Regiões lado a lado" sheetId="2" r:id="rId2"/>
  </sheets>
  <definedNames>
    <definedName name="_xlnm._FilterDatabase" localSheetId="0">'Cabeçalho deslocado'!A4:F8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pivotTables/pivotTable1.xml><?xml version="1.0" encoding="utf-8"?>
<pivotTableDefinition xmlns="http://schemas.openxmlformats.org/spreadsheetml/2006/main" name="ResumoPorCidade">
  <location ref="I4:L10"/>
</pivotTableDefinition>
</file>

<file path=xl/tables/table1.xml><?xml version="1.0" encoding="utf-8"?>
<table xmlns="http://schemas.openxmlformats.org/spreadsheetml/2006/main" name="VendasImportadas" displayName="VendasImportadas" ref="A4:G8">
  <tableColumns count="7">
    <tableColumn id="1" name="Data"/>
    <tableColumn id="2" name="Cidade"/>
    <tableColumn id="3" name="CPF"/>
    <tableColumn id="4" name="Categoria"/>
    <tableColumn id="5" name="Faturamento"/>
    <tableColumn id="6" name="Taxa"/>
    <tableColumn id="7" name="Total calculado">
      <calculatedColumnFormula>Faturamento</calculatedColumnFormula>
    </tableColumn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Relationship Id="rIdPivot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/>
    <col min="2" max="2"/>
    <col min="3" max="3" hidden="true"/>
  </cols>
  <sheetData>
    <row r="1">
      <c r="A1" t="str">
        <v>Relatório de vendas — revisão técnica</v>
      </c>
    </row>
    <row r="2" hidden="1">
      <c r="A2" t="str">
        <v>Período</v>
      </c>
      <c r="B2" t="str">
        <v>01/01/2026 a 30/06/2026</v>
      </c>
    </row>
    <row r="4">
      <c r="A4" t="str">
        <v>Data</v>
      </c>
      <c r="B4" t="str">
        <v>Cidade</v>
      </c>
      <c r="C4" t="str">
        <v>CPF</v>
      </c>
      <c r="D4" t="str">
        <v>Categoria</v>
      </c>
      <c r="E4" t="str">
        <v>Faturamento</v>
      </c>
      <c r="F4" t="str">
        <v>Taxa</v>
      </c>
      <c r="G4" t="str">
        <v>Total calculado</v>
      </c>
    </row>
    <row r="5">
      <c r="A5" t="str">
        <v>01/01/2026</v>
      </c>
      <c r="B5" t="str">
        <v>São Paulo</v>
      </c>
      <c r="C5" t="str">
        <v>123.456.789-00</v>
      </c>
      <c r="D5" t="str">
        <v>Atacado</v>
      </c>
      <c r="E5" t="str">
        <v>R$ 1.234,56</v>
      </c>
      <c r="F5" t="str">
        <v>12,5%</v>
      </c>
      <c r="G5">
        <f>E5</f>
        <v>1234.56</v>
      </c>
    </row>
    <row r="6">
      <c r="A6" t="str">
        <v>02/01/2026</v>
      </c>
      <c r="B6" t="str">
        <v>Curitiba</v>
      </c>
      <c r="C6" t="str">
        <v>987.654.321-00</v>
      </c>
      <c r="D6" t="str">
        <v>Varejo</v>
      </c>
      <c r="E6" t="str">
        <v>R$ 900,00</v>
      </c>
      <c r="F6" t="str">
        <v>8%</v>
      </c>
      <c r="G6">
        <f>SUM(E5:E6)</f>
        <v>2134.56</v>
      </c>
    </row>
    <row r="7">
      <c r="A7" t="str">
        <v>02/01/2026</v>
      </c>
      <c r="B7" t="str">
        <v>Curitiba</v>
      </c>
      <c r="C7" t="str">
        <v>987.654.321-00</v>
      </c>
      <c r="D7" t="str">
        <v>Varejo</v>
      </c>
      <c r="E7" t="str">
        <v>R$ 900,00</v>
      </c>
      <c r="F7" t="str">
        <v>8%</v>
      </c>
    </row>
    <row r="8">
      <c r="A8" t="str">
        <v>03/01/2026</v>
      </c>
      <c r="C8" t="str">
        <v>111.222.333-44</v>
      </c>
      <c r="D8" t="str">
        <v xml:space="preserve">varejo </v>
      </c>
      <c r="F8" t="str">
        <v>10%</v>
      </c>
    </row>
  </sheetData>
  <autoFilter ref="A4:F8"/>
  <mergeCells count="1">
    <mergeCell ref="A1:F1"/>
  </mergeCells>
  <ignoredErrors>
    <ignoredError numberStoredAsText="1" sqref="A1:G8"/>
  </ignoredErrors>
  <tableParts count="1">
    <tablePart r:id="rIdTable"/>
  </tableParts>
  <pivotTableDefinition r:id="rIdPivo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Produto</v>
      </c>
      <c r="B1" t="str">
        <v>Quantidade</v>
      </c>
      <c r="E1" t="str">
        <v>Estado</v>
      </c>
      <c r="F1" t="str">
        <v>Receita</v>
      </c>
    </row>
    <row r="2">
      <c r="A2" t="str">
        <v>A</v>
      </c>
      <c r="B2">
        <v>10</v>
      </c>
      <c r="E2" t="str">
        <v>SP</v>
      </c>
      <c r="F2">
        <v>1000</v>
      </c>
    </row>
    <row r="3">
      <c r="A3" t="str">
        <v>B</v>
      </c>
      <c r="B3">
        <v>20</v>
      </c>
      <c r="E3" t="str">
        <v>PR</v>
      </c>
      <c r="F3">
        <v>1500</v>
      </c>
    </row>
    <row r="4">
      <c r="A4" t="str">
        <v>C</v>
      </c>
      <c r="B4">
        <v>15</v>
      </c>
      <c r="E4" t="str">
        <v>SC</v>
      </c>
      <c r="F4">
        <v>1200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Cabeçalho deslocado</vt:lpstr>
      <vt:lpstr>Regiões lado a lado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